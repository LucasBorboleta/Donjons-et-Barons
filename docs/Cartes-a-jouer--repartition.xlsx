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CE275B44-DDE6-4D0D-AA21-992D35776967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Répartition" sheetId="1" r:id="rId1"/>
    <sheet name="Présent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D3" i="2"/>
  <c r="E6" i="2"/>
  <c r="D9" i="2"/>
  <c r="D12" i="2"/>
  <c r="D10" i="2"/>
  <c r="D6" i="2"/>
  <c r="B18" i="1"/>
  <c r="G8" i="1"/>
  <c r="G9" i="1"/>
  <c r="G4" i="1"/>
  <c r="G5" i="1"/>
  <c r="G6" i="1"/>
  <c r="G7" i="1"/>
  <c r="G3" i="1"/>
  <c r="G14" i="1"/>
  <c r="G15" i="1"/>
  <c r="G16" i="1"/>
  <c r="G13" i="1"/>
  <c r="G11" i="1"/>
  <c r="G12" i="1"/>
  <c r="G10" i="1"/>
  <c r="G17" i="1"/>
  <c r="D18" i="1"/>
  <c r="F3" i="1" s="1"/>
  <c r="B34" i="1" l="1"/>
  <c r="G18" i="1"/>
  <c r="B22" i="1" s="1"/>
  <c r="F7" i="1"/>
  <c r="F6" i="1"/>
  <c r="F5" i="1"/>
  <c r="F4" i="1"/>
  <c r="F9" i="1"/>
  <c r="F8" i="1"/>
  <c r="F17" i="1"/>
  <c r="F10" i="1"/>
  <c r="F12" i="1"/>
  <c r="F11" i="1"/>
  <c r="F13" i="1"/>
  <c r="F16" i="1"/>
  <c r="F15" i="1"/>
  <c r="F14" i="1"/>
</calcChain>
</file>

<file path=xl/sharedStrings.xml><?xml version="1.0" encoding="utf-8"?>
<sst xmlns="http://schemas.openxmlformats.org/spreadsheetml/2006/main" count="79" uniqueCount="40">
  <si>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</si>
  <si>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</si>
  <si>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</si>
  <si>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</si>
  <si>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</si>
  <si>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</si>
  <si>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</si>
  <si>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</si>
  <si>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</si>
  <si>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Chevauchée Lointaine</t>
  </si>
  <si>
    <t>Déconstruire Donjon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</si>
  <si>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</si>
  <si>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</si>
  <si>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</si>
  <si>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</si>
  <si>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</si>
  <si>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</si>
  <si>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</si>
  <si>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</si>
  <si>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</si>
  <si>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</si>
  <si>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</si>
  <si>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</si>
  <si>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</si>
  <si>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</si>
  <si>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</si>
  <si>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</si>
  <si>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</si>
  <si>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</si>
  <si>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</si>
  <si>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</si>
  <si>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</si>
  <si>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</si>
  <si>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</si>
  <si>
    <t>z</t>
  </si>
  <si>
    <t>Recruter Chevalier</t>
  </si>
  <si>
    <t>Carte</t>
  </si>
  <si>
    <t>Regroupements</t>
  </si>
  <si>
    <t>Construire Donjon</t>
  </si>
  <si>
    <t>Complot à la 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</si>
</sst>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28D7C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0" fillId="0" borderId="13" xfId="0" applyBorder="1" applyAlignment="1"/>
    <xf numFmtId="0" fontId="0" fillId="0" borderId="2" xfId="0" applyBorder="1" applyAlignment="1"/>
    <xf numFmtId="0" fontId="0" fillId="4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sortState xmlns:xlrd2="http://schemas.microsoft.com/office/spreadsheetml/2017/richdata2" ref="B3:J17">
    <sortCondition ref="C2:C17"/>
  </sortState>
  <tableColumns count="9">
    <tableColumn id="5" xr3:uid="{1ACE54E5-EDC8-4AD7-84A1-8DA8AE240D81}" name="Note" totalsRowFunction="count" dataDxfId="17" totalsRowDxfId="16"/>
    <tableColumn id="1" xr3:uid="{962D52E2-C6AE-4100-AE8C-DF2E8B9B0615}" name="Ordre" dataDxfId="15" totalsRowDxfId="14"/>
    <tableColumn id="2" xr3:uid="{361935C2-34DD-4D21-A2AB-6BBFCF4F98A2}" name="Nombre" totalsRowFunction="sum" dataDxfId="13" totalsRowDxfId="12"/>
    <tableColumn id="7" xr3:uid="{C94B1093-5CDB-4631-9DEA-00E6458C936C}" name="Prêt" dataDxfId="11" totalsRowDxfId="10"/>
    <tableColumn id="9" xr3:uid="{79576F61-0793-4990-BCCE-C22965121196}" name="Fréquence" dataDxfId="9" totalsRowDxfId="8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7" totalsRowDxfId="6">
      <calculatedColumnFormula>Tableau1[[#This Row],[Nombre]]*Tableau1[[#This Row],[Credit]]</calculatedColumnFormula>
    </tableColumn>
    <tableColumn id="6" xr3:uid="{01749902-06D0-4021-B14B-C7F16B74E64F}" name="Rare?" dataDxfId="5" totalsRowDxfId="4"/>
    <tableColumn id="3" xr3:uid="{03B71102-410F-4504-A5D5-D6E86877D1E0}" name="Type" dataDxfId="3" totalsRowDxfId="2"/>
    <tableColumn id="4" xr3:uid="{D6FB2E1D-5A55-46E8-AE05-7C9175F7718F}" name="Credi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zoomScale="85" zoomScaleNormal="85" workbookViewId="0">
      <selection activeCell="F26" sqref="F26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24</v>
      </c>
      <c r="D2" s="5" t="s">
        <v>5</v>
      </c>
      <c r="E2" s="5" t="s">
        <v>32</v>
      </c>
      <c r="F2" s="5" t="s">
        <v>23</v>
      </c>
      <c r="G2" s="5" t="s">
        <v>20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15</v>
      </c>
      <c r="C3" s="2">
        <v>1</v>
      </c>
      <c r="D3" s="1">
        <v>9</v>
      </c>
      <c r="E3" s="1" t="s">
        <v>33</v>
      </c>
      <c r="F3" s="11">
        <f>Tableau1[[#This Row],[Nombre]]/Tableau1[[#Totals],[Nombre]]</f>
        <v>0.09</v>
      </c>
      <c r="G3" s="1">
        <f>Tableau1[[#This Row],[Nombre]]*Tableau1[[#This Row],[Credit]]</f>
        <v>0</v>
      </c>
      <c r="H3" s="1"/>
      <c r="I3" s="1" t="s">
        <v>2</v>
      </c>
      <c r="J3" s="3">
        <v>0</v>
      </c>
    </row>
    <row r="4" spans="2:10" x14ac:dyDescent="0.25">
      <c r="B4" s="2" t="s">
        <v>12</v>
      </c>
      <c r="C4" s="2">
        <v>2</v>
      </c>
      <c r="D4" s="1">
        <v>9</v>
      </c>
      <c r="E4" s="1" t="s">
        <v>33</v>
      </c>
      <c r="F4" s="11">
        <f>Tableau1[[#This Row],[Nombre]]/Tableau1[[#Totals],[Nombre]]</f>
        <v>0.09</v>
      </c>
      <c r="G4" s="1">
        <f>Tableau1[[#This Row],[Nombre]]*Tableau1[[#This Row],[Credit]]</f>
        <v>18</v>
      </c>
      <c r="H4" s="1"/>
      <c r="I4" s="1" t="s">
        <v>2</v>
      </c>
      <c r="J4" s="3">
        <v>2</v>
      </c>
    </row>
    <row r="5" spans="2:10" x14ac:dyDescent="0.25">
      <c r="B5" s="2" t="s">
        <v>13</v>
      </c>
      <c r="C5" s="2">
        <v>3</v>
      </c>
      <c r="D5" s="1">
        <v>9</v>
      </c>
      <c r="E5" s="1" t="s">
        <v>33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14</v>
      </c>
      <c r="C6" s="2">
        <v>4</v>
      </c>
      <c r="D6" s="1">
        <v>9</v>
      </c>
      <c r="E6" s="1" t="s">
        <v>33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9</v>
      </c>
      <c r="C7" s="2">
        <v>5</v>
      </c>
      <c r="D7" s="1">
        <v>2</v>
      </c>
      <c r="E7" s="1" t="s">
        <v>34</v>
      </c>
      <c r="F7" s="11">
        <f>Tableau1[[#This Row],[Nombre]]/Tableau1[[#Totals],[Nombre]]</f>
        <v>0.02</v>
      </c>
      <c r="G7" s="1">
        <f>Tableau1[[#This Row],[Nombre]]*Tableau1[[#This Row],[Credit]]</f>
        <v>4</v>
      </c>
      <c r="H7" s="1" t="b">
        <v>1</v>
      </c>
      <c r="I7" s="1" t="s">
        <v>2</v>
      </c>
      <c r="J7" s="3">
        <v>2</v>
      </c>
    </row>
    <row r="8" spans="2:10" x14ac:dyDescent="0.25">
      <c r="B8" s="2" t="s">
        <v>35</v>
      </c>
      <c r="C8" s="2">
        <v>6</v>
      </c>
      <c r="D8" s="1">
        <v>2</v>
      </c>
      <c r="E8" s="1" t="s">
        <v>34</v>
      </c>
      <c r="F8" s="11">
        <f>Tableau1[[#This Row],[Nombre]]/Tableau1[[#Totals],[Nombre]]</f>
        <v>0.02</v>
      </c>
      <c r="G8" s="1">
        <f>Tableau1[[#This Row],[Nombre]]*Tableau1[[#This Row],[Credit]]</f>
        <v>6</v>
      </c>
      <c r="H8" s="1" t="b">
        <v>1</v>
      </c>
      <c r="I8" s="1" t="s">
        <v>2</v>
      </c>
      <c r="J8" s="3">
        <v>3</v>
      </c>
    </row>
    <row r="9" spans="2:10" x14ac:dyDescent="0.25">
      <c r="B9" s="2" t="s">
        <v>11</v>
      </c>
      <c r="C9" s="2">
        <v>7</v>
      </c>
      <c r="D9" s="1">
        <v>2</v>
      </c>
      <c r="E9" s="1" t="s">
        <v>33</v>
      </c>
      <c r="F9" s="11">
        <f>Tableau1[[#This Row],[Nombre]]/Tableau1[[#Totals],[Nombre]]</f>
        <v>0.02</v>
      </c>
      <c r="G9" s="1">
        <f>Tableau1[[#This Row],[Nombre]]*Tableau1[[#This Row],[Credit]]</f>
        <v>6</v>
      </c>
      <c r="H9" s="1" t="b">
        <v>1</v>
      </c>
      <c r="I9" s="1" t="s">
        <v>2</v>
      </c>
      <c r="J9" s="3">
        <v>3</v>
      </c>
    </row>
    <row r="10" spans="2:10" x14ac:dyDescent="0.25">
      <c r="B10" s="2" t="s">
        <v>38</v>
      </c>
      <c r="C10" s="2">
        <v>8</v>
      </c>
      <c r="D10" s="1">
        <v>10</v>
      </c>
      <c r="E10" s="1" t="s">
        <v>33</v>
      </c>
      <c r="F10" s="11">
        <f>Tableau1[[#This Row],[Nombre]]/Tableau1[[#Totals],[Nombre]]</f>
        <v>0.1</v>
      </c>
      <c r="G10" s="1">
        <f>Tableau1[[#This Row],[Nombre]]*Tableau1[[#This Row],[Credit]]</f>
        <v>10</v>
      </c>
      <c r="H10" s="1"/>
      <c r="I10" s="1" t="s">
        <v>4</v>
      </c>
      <c r="J10" s="3">
        <v>1</v>
      </c>
    </row>
    <row r="11" spans="2:10" x14ac:dyDescent="0.25">
      <c r="B11" s="2" t="s">
        <v>7</v>
      </c>
      <c r="C11" s="2">
        <v>9</v>
      </c>
      <c r="D11" s="1">
        <v>8</v>
      </c>
      <c r="E11" s="1" t="s">
        <v>34</v>
      </c>
      <c r="F11" s="11">
        <f>Tableau1[[#This Row],[Nombre]]/Tableau1[[#Totals],[Nombre]]</f>
        <v>0.08</v>
      </c>
      <c r="G11" s="1">
        <f>Tableau1[[#This Row],[Nombre]]*Tableau1[[#This Row],[Credit]]</f>
        <v>8</v>
      </c>
      <c r="H11" s="1"/>
      <c r="I11" s="1" t="s">
        <v>4</v>
      </c>
      <c r="J11" s="3">
        <v>1</v>
      </c>
    </row>
    <row r="12" spans="2:10" x14ac:dyDescent="0.25">
      <c r="B12" s="2" t="s">
        <v>8</v>
      </c>
      <c r="C12" s="2">
        <v>10</v>
      </c>
      <c r="D12" s="1">
        <v>8</v>
      </c>
      <c r="E12" s="1" t="s">
        <v>34</v>
      </c>
      <c r="F12" s="11">
        <f>Tableau1[[#This Row],[Nombre]]/Tableau1[[#Totals],[Nombre]]</f>
        <v>0.08</v>
      </c>
      <c r="G12" s="1">
        <f>Tableau1[[#This Row],[Nombre]]*Tableau1[[#This Row],[Credit]]</f>
        <v>8</v>
      </c>
      <c r="H12" s="1"/>
      <c r="I12" s="1" t="s">
        <v>4</v>
      </c>
      <c r="J12" s="3">
        <v>1</v>
      </c>
    </row>
    <row r="13" spans="2:10" x14ac:dyDescent="0.25">
      <c r="B13" s="2" t="s">
        <v>19</v>
      </c>
      <c r="C13" s="2">
        <v>11</v>
      </c>
      <c r="D13" s="1">
        <v>8</v>
      </c>
      <c r="E13" s="1" t="s">
        <v>34</v>
      </c>
      <c r="F13" s="11">
        <f>Tableau1[[#This Row],[Nombre]]/Tableau1[[#Totals],[Nombre]]</f>
        <v>0.08</v>
      </c>
      <c r="G13" s="1">
        <f>Tableau1[[#This Row],[Nombre]]*Tableau1[[#This Row],[Credit]]</f>
        <v>8</v>
      </c>
      <c r="H13" s="1"/>
      <c r="I13" s="1" t="s">
        <v>4</v>
      </c>
      <c r="J13" s="3">
        <v>1</v>
      </c>
    </row>
    <row r="14" spans="2:10" x14ac:dyDescent="0.25">
      <c r="B14" s="2" t="s">
        <v>16</v>
      </c>
      <c r="C14" s="2">
        <v>12</v>
      </c>
      <c r="D14" s="1">
        <v>7</v>
      </c>
      <c r="E14" s="1" t="s">
        <v>34</v>
      </c>
      <c r="F14" s="11">
        <f>Tableau1[[#This Row],[Nombre]]/Tableau1[[#Totals],[Nombre]]</f>
        <v>7.0000000000000007E-2</v>
      </c>
      <c r="G14" s="1">
        <f>Tableau1[[#This Row],[Nombre]]*Tableau1[[#This Row],[Credit]]</f>
        <v>21</v>
      </c>
      <c r="H14" s="1"/>
      <c r="I14" s="1" t="s">
        <v>4</v>
      </c>
      <c r="J14" s="3">
        <v>3</v>
      </c>
    </row>
    <row r="15" spans="2:10" x14ac:dyDescent="0.25">
      <c r="B15" s="2" t="s">
        <v>18</v>
      </c>
      <c r="C15" s="2">
        <v>13</v>
      </c>
      <c r="D15" s="1">
        <v>7</v>
      </c>
      <c r="E15" s="1" t="s">
        <v>34</v>
      </c>
      <c r="F15" s="11">
        <f>Tableau1[[#This Row],[Nombre]]/Tableau1[[#Totals],[Nombre]]</f>
        <v>7.0000000000000007E-2</v>
      </c>
      <c r="G15" s="1">
        <f>Tableau1[[#This Row],[Nombre]]*Tableau1[[#This Row],[Credit]]</f>
        <v>21</v>
      </c>
      <c r="H15" s="1"/>
      <c r="I15" s="1" t="s">
        <v>4</v>
      </c>
      <c r="J15" s="3">
        <v>3</v>
      </c>
    </row>
    <row r="16" spans="2:10" x14ac:dyDescent="0.25">
      <c r="B16" s="2" t="s">
        <v>17</v>
      </c>
      <c r="C16" s="2">
        <v>14</v>
      </c>
      <c r="D16" s="1">
        <v>8</v>
      </c>
      <c r="E16" s="1" t="s">
        <v>34</v>
      </c>
      <c r="F16" s="11">
        <f>Tableau1[[#This Row],[Nombre]]/Tableau1[[#Totals],[Nombre]]</f>
        <v>0.08</v>
      </c>
      <c r="G16" s="1">
        <f>Tableau1[[#This Row],[Nombre]]*Tableau1[[#This Row],[Credit]]</f>
        <v>24</v>
      </c>
      <c r="H16" s="1"/>
      <c r="I16" s="1" t="s">
        <v>4</v>
      </c>
      <c r="J16" s="3">
        <v>3</v>
      </c>
    </row>
    <row r="17" spans="2:10" x14ac:dyDescent="0.25">
      <c r="B17" s="7" t="s">
        <v>10</v>
      </c>
      <c r="C17" s="7">
        <v>15</v>
      </c>
      <c r="D17" s="8">
        <v>2</v>
      </c>
      <c r="E17" s="8" t="s">
        <v>34</v>
      </c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22</v>
      </c>
      <c r="C21" s="13"/>
      <c r="D21" s="15" t="s">
        <v>21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31</v>
      </c>
      <c r="D24" s="15" t="s">
        <v>29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28</v>
      </c>
      <c r="D27" s="15" t="s">
        <v>30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25</v>
      </c>
      <c r="D30" s="19" t="s">
        <v>27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26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F15"/>
  <sheetViews>
    <sheetView tabSelected="1" workbookViewId="0">
      <selection activeCell="N16" sqref="N16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8.7109375" customWidth="1"/>
    <col min="4" max="6" width="5.7109375" customWidth="1"/>
  </cols>
  <sheetData>
    <row r="2" spans="2:6" x14ac:dyDescent="0.25">
      <c r="B2" s="21" t="s">
        <v>36</v>
      </c>
      <c r="C2" s="21" t="s">
        <v>5</v>
      </c>
      <c r="D2" s="23" t="s">
        <v>37</v>
      </c>
      <c r="E2" s="24"/>
      <c r="F2" s="25"/>
    </row>
    <row r="3" spans="2:6" x14ac:dyDescent="0.25">
      <c r="B3" s="18" t="s">
        <v>12</v>
      </c>
      <c r="C3" s="18">
        <v>6</v>
      </c>
      <c r="D3" s="26">
        <f>SUM(C3:C5)</f>
        <v>18</v>
      </c>
      <c r="E3" s="27"/>
      <c r="F3" s="42">
        <f>SUM(C3:C15)</f>
        <v>40</v>
      </c>
    </row>
    <row r="4" spans="2:6" x14ac:dyDescent="0.25">
      <c r="B4" s="18" t="s">
        <v>13</v>
      </c>
      <c r="C4" s="18">
        <v>6</v>
      </c>
      <c r="D4" s="28"/>
      <c r="E4" s="29"/>
      <c r="F4" s="43"/>
    </row>
    <row r="5" spans="2:6" x14ac:dyDescent="0.25">
      <c r="B5" s="18" t="s">
        <v>14</v>
      </c>
      <c r="C5" s="18">
        <v>6</v>
      </c>
      <c r="D5" s="30"/>
      <c r="E5" s="31"/>
      <c r="F5" s="43"/>
    </row>
    <row r="6" spans="2:6" x14ac:dyDescent="0.25">
      <c r="B6" s="20" t="s">
        <v>16</v>
      </c>
      <c r="C6" s="20">
        <v>2</v>
      </c>
      <c r="D6" s="32">
        <f>SUM(C6:C8)</f>
        <v>6</v>
      </c>
      <c r="E6" s="33">
        <f>SUM(C6:C11)</f>
        <v>18</v>
      </c>
      <c r="F6" s="43"/>
    </row>
    <row r="7" spans="2:6" x14ac:dyDescent="0.25">
      <c r="B7" s="20" t="s">
        <v>18</v>
      </c>
      <c r="C7" s="20">
        <v>2</v>
      </c>
      <c r="D7" s="34"/>
      <c r="E7" s="33"/>
      <c r="F7" s="43"/>
    </row>
    <row r="8" spans="2:6" x14ac:dyDescent="0.25">
      <c r="B8" s="20" t="s">
        <v>17</v>
      </c>
      <c r="C8" s="20">
        <v>2</v>
      </c>
      <c r="D8" s="35"/>
      <c r="E8" s="33"/>
      <c r="F8" s="43"/>
    </row>
    <row r="9" spans="2:6" x14ac:dyDescent="0.25">
      <c r="B9" s="20" t="s">
        <v>38</v>
      </c>
      <c r="C9" s="20">
        <v>6</v>
      </c>
      <c r="D9" s="20">
        <f>C9</f>
        <v>6</v>
      </c>
      <c r="E9" s="33"/>
      <c r="F9" s="43"/>
    </row>
    <row r="10" spans="2:6" x14ac:dyDescent="0.25">
      <c r="B10" s="20" t="s">
        <v>8</v>
      </c>
      <c r="C10" s="20">
        <v>3</v>
      </c>
      <c r="D10" s="32">
        <f>SUM(C10:C11)</f>
        <v>6</v>
      </c>
      <c r="E10" s="33"/>
      <c r="F10" s="43"/>
    </row>
    <row r="11" spans="2:6" x14ac:dyDescent="0.25">
      <c r="B11" s="20" t="s">
        <v>7</v>
      </c>
      <c r="C11" s="20">
        <v>3</v>
      </c>
      <c r="D11" s="35"/>
      <c r="E11" s="33"/>
      <c r="F11" s="43"/>
    </row>
    <row r="12" spans="2:6" x14ac:dyDescent="0.25">
      <c r="B12" s="18" t="s">
        <v>9</v>
      </c>
      <c r="C12" s="18">
        <v>1</v>
      </c>
      <c r="D12" s="36">
        <f>SUM(C12:C15)</f>
        <v>4</v>
      </c>
      <c r="E12" s="37"/>
      <c r="F12" s="43"/>
    </row>
    <row r="13" spans="2:6" x14ac:dyDescent="0.25">
      <c r="B13" s="18" t="s">
        <v>35</v>
      </c>
      <c r="C13" s="18">
        <v>1</v>
      </c>
      <c r="D13" s="38"/>
      <c r="E13" s="39"/>
      <c r="F13" s="43"/>
    </row>
    <row r="14" spans="2:6" x14ac:dyDescent="0.25">
      <c r="B14" s="18" t="s">
        <v>11</v>
      </c>
      <c r="C14" s="18">
        <v>1</v>
      </c>
      <c r="D14" s="38"/>
      <c r="E14" s="39"/>
      <c r="F14" s="43"/>
    </row>
    <row r="15" spans="2:6" x14ac:dyDescent="0.25">
      <c r="B15" s="22" t="s">
        <v>39</v>
      </c>
      <c r="C15" s="18">
        <v>1</v>
      </c>
      <c r="D15" s="40"/>
      <c r="E15" s="41"/>
      <c r="F15" s="44"/>
    </row>
  </sheetData>
  <mergeCells count="7">
    <mergeCell ref="D2:F2"/>
    <mergeCell ref="D6:D8"/>
    <mergeCell ref="D10:D11"/>
    <mergeCell ref="E6:E11"/>
    <mergeCell ref="F3:F15"/>
    <mergeCell ref="D3:E5"/>
    <mergeCell ref="D12:E15"/>
  </mergeCells>
  <conditionalFormatting sqref="C3:C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C8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C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5" bottom="0.75" header="0.3" footer="0.3"/>
  <pageSetup paperSize="9" orientation="portrait" r:id="rId1"/>
  <ignoredErrors>
    <ignoredError sqref="D6:E6 D10 D12 D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Répartition</vt:lpstr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2026-02-22T09:24:07Z</dcterms:modified>
</cp:coreProperties>
</file>