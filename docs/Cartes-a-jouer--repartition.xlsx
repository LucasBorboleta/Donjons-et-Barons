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and\Documents\GitHub\Donjons-et-Barons\docs\"/>
    </mc:Choice>
  </mc:AlternateContent>
  <xr:revisionPtr revIDLastSave="0" documentId="13_ncr:1_{23959BBA-AB7E-4AB3-AB0C-3EDE6D0538F3}" xr6:coauthVersionLast="47" xr6:coauthVersionMax="47" xr10:uidLastSave="{00000000-0000-0000-0000-000000000000}"/>
  <bookViews>
    <workbookView xWindow="28680" yWindow="-9120" windowWidth="29040" windowHeight="157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D25" i="1"/>
  <c r="B28" i="1"/>
  <c r="D28" i="1"/>
  <c r="M24" i="1"/>
  <c r="M27" i="1"/>
  <c r="K24" i="1"/>
  <c r="B31" i="1" s="1"/>
  <c r="D31" i="1"/>
  <c r="B18" i="1"/>
  <c r="F8" i="1"/>
  <c r="F9" i="1"/>
  <c r="F4" i="1"/>
  <c r="F5" i="1"/>
  <c r="F6" i="1"/>
  <c r="F7" i="1"/>
  <c r="F3" i="1"/>
  <c r="F14" i="1"/>
  <c r="F15" i="1"/>
  <c r="F16" i="1"/>
  <c r="F13" i="1"/>
  <c r="F11" i="1"/>
  <c r="F12" i="1"/>
  <c r="F10" i="1"/>
  <c r="F17" i="1"/>
  <c r="D18" i="1"/>
  <c r="E3" i="1" s="1"/>
  <c r="B34" i="1" l="1"/>
  <c r="F18" i="1"/>
  <c r="B22" i="1" s="1"/>
  <c r="E7" i="1"/>
  <c r="E6" i="1"/>
  <c r="E5" i="1"/>
  <c r="E4" i="1"/>
  <c r="E9" i="1"/>
  <c r="E8" i="1"/>
  <c r="E17" i="1"/>
  <c r="E10" i="1"/>
  <c r="E12" i="1"/>
  <c r="E11" i="1"/>
  <c r="E13" i="1"/>
  <c r="E16" i="1"/>
  <c r="E15" i="1"/>
  <c r="E14" i="1"/>
</calcChain>
</file>

<file path=xl/sharedStrings.xml><?xml version="1.0" encoding="utf-8"?>
<sst xmlns="http://schemas.openxmlformats.org/spreadsheetml/2006/main" count="54" uniqueCount="41">
  <si>
    <t>Type</t>
  </si>
  <si>
    <t>Credit</t>
  </si>
  <si>
    <t>O</t>
  </si>
  <si>
    <t>Note</t>
  </si>
  <si>
    <t>T</t>
  </si>
  <si>
    <t>Nombre</t>
  </si>
  <si>
    <t>Rare?</t>
  </si>
  <si>
    <t>Disperser Troupes</t>
  </si>
  <si>
    <t>Concentrer Troupes</t>
  </si>
  <si>
    <t>Constuire Donjon</t>
  </si>
  <si>
    <t>Chevauchée Lointaine</t>
  </si>
  <si>
    <t>Déconstruire Donjon</t>
  </si>
  <si>
    <t>Recruter Officier</t>
  </si>
  <si>
    <t>Exiler Officier</t>
  </si>
  <si>
    <t>Déplacer Officier 3+</t>
  </si>
  <si>
    <t>Déplacer Officier 2+</t>
  </si>
  <si>
    <t>Déplacer Officier 1+</t>
  </si>
  <si>
    <t>Déplacer Officier 1</t>
  </si>
  <si>
    <t>Recruter Troupes 3+</t>
  </si>
  <si>
    <t>Recruter Troupes 1+</t>
  </si>
  <si>
    <t>Recruter Troupes 2+</t>
  </si>
  <si>
    <t>Recruter Troupes 1</t>
  </si>
  <si>
    <t>Nombre*Credit</t>
  </si>
  <si>
    <t>#Cartes Déplacer Officier x</t>
  </si>
  <si>
    <t>#Cartes Officier rare</t>
  </si>
  <si>
    <t>#Cartes Officier (ordre de grandeur)</t>
  </si>
  <si>
    <t>#Cartes Troupes (ordre de grandeur)</t>
  </si>
  <si>
    <t>#Cartes Recruter Troupes x</t>
  </si>
  <si>
    <t>#Cartes Déplacer Troupes x</t>
  </si>
  <si>
    <t>#Cartes Troupes rare</t>
  </si>
  <si>
    <t>#Cartes Construire Donjons</t>
  </si>
  <si>
    <t>Crédit moyen</t>
  </si>
  <si>
    <t>Fréquence</t>
  </si>
  <si>
    <t>Ordre</t>
  </si>
  <si>
    <t>#Cartes Officier</t>
  </si>
  <si>
    <t>#Cartes</t>
  </si>
  <si>
    <t>#Cartes Troupes</t>
  </si>
  <si>
    <t>#Cartes Déplacer Officiers</t>
  </si>
  <si>
    <t>#Cartes Recruter Troupes</t>
  </si>
  <si>
    <t>#Cartes Déplacer Troupes</t>
  </si>
  <si>
    <t>#Cartes rares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</si>
</sst>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BCDE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urcentage" xfId="1" builtinId="5"/>
  </cellStyles>
  <dxfs count="21"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BCD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87EBA-D301-4E43-8701-B804D42A43C7}" name="Tableau1" displayName="Tableau1" ref="B2:I18" totalsRowCount="1" headerRowDxfId="20" dataDxfId="18" headerRowBorderDxfId="19" tableBorderDxfId="17" totalsRowBorderDxfId="16">
  <autoFilter ref="B2:I17" xr:uid="{CF687EBA-D301-4E43-8701-B804D42A43C7}"/>
  <tableColumns count="8">
    <tableColumn id="5" xr3:uid="{1ACE54E5-EDC8-4AD7-84A1-8DA8AE240D81}" name="Note" totalsRowFunction="count" dataDxfId="15" totalsRowDxfId="7"/>
    <tableColumn id="1" xr3:uid="{962D52E2-C6AE-4100-AE8C-DF2E8B9B0615}" name="Ordre" dataDxfId="8" totalsRowDxfId="6"/>
    <tableColumn id="2" xr3:uid="{361935C2-34DD-4D21-A2AB-6BBFCF4F98A2}" name="Nombre" totalsRowFunction="sum" dataDxfId="14" totalsRowDxfId="5"/>
    <tableColumn id="9" xr3:uid="{79576F61-0793-4990-BCCE-C22965121196}" name="Fréquence" dataDxfId="13" totalsRowDxfId="4" dataCellStyle="Pourcentage">
      <calculatedColumnFormula>Tableau1[[#This Row],[Nombre]]/Tableau1[[#Totals],[Nombre]]</calculatedColumnFormula>
    </tableColumn>
    <tableColumn id="8" xr3:uid="{37230C39-5DD0-41BC-BD2F-700C093E4770}" name="Nombre*Credit" totalsRowFunction="sum" dataDxfId="12" totalsRowDxfId="3">
      <calculatedColumnFormula>Tableau1[[#This Row],[Nombre]]*Tableau1[[#This Row],[Credit]]</calculatedColumnFormula>
    </tableColumn>
    <tableColumn id="6" xr3:uid="{01749902-06D0-4021-B14B-C7F16B74E64F}" name="Rare?" dataDxfId="11" totalsRowDxfId="2"/>
    <tableColumn id="3" xr3:uid="{03B71102-410F-4504-A5D5-D6E86877D1E0}" name="Type" dataDxfId="10" totalsRowDxfId="1"/>
    <tableColumn id="4" xr3:uid="{D6FB2E1D-5A55-46E8-AE05-7C9175F7718F}" name="Credit" dataDxfId="9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34"/>
  <sheetViews>
    <sheetView tabSelected="1" zoomScale="85" zoomScaleNormal="85" workbookViewId="0">
      <selection activeCell="B2" sqref="B2:I34"/>
    </sheetView>
  </sheetViews>
  <sheetFormatPr baseColWidth="10" defaultColWidth="9.140625" defaultRowHeight="15" x14ac:dyDescent="0.25"/>
  <cols>
    <col min="1" max="1" width="5.42578125" customWidth="1"/>
    <col min="2" max="2" width="24.7109375" customWidth="1"/>
    <col min="3" max="3" width="7.28515625" customWidth="1"/>
    <col min="4" max="4" width="28.140625" customWidth="1"/>
    <col min="5" max="5" width="14.7109375" customWidth="1"/>
    <col min="6" max="6" width="18.7109375" customWidth="1"/>
    <col min="7" max="7" width="11.28515625" customWidth="1"/>
    <col min="9" max="9" width="10.7109375" customWidth="1"/>
    <col min="11" max="11" width="36.7109375" customWidth="1"/>
    <col min="13" max="13" width="34.42578125" customWidth="1"/>
    <col min="15" max="15" width="29.7109375" customWidth="1"/>
  </cols>
  <sheetData>
    <row r="2" spans="2:9" x14ac:dyDescent="0.25">
      <c r="B2" s="4" t="s">
        <v>3</v>
      </c>
      <c r="C2" s="4" t="s">
        <v>33</v>
      </c>
      <c r="D2" s="5" t="s">
        <v>5</v>
      </c>
      <c r="E2" s="5" t="s">
        <v>32</v>
      </c>
      <c r="F2" s="5" t="s">
        <v>22</v>
      </c>
      <c r="G2" s="5" t="s">
        <v>6</v>
      </c>
      <c r="H2" s="5" t="s">
        <v>0</v>
      </c>
      <c r="I2" s="6" t="s">
        <v>1</v>
      </c>
    </row>
    <row r="3" spans="2:9" x14ac:dyDescent="0.25">
      <c r="B3" s="2" t="s">
        <v>17</v>
      </c>
      <c r="C3" s="2">
        <v>1</v>
      </c>
      <c r="D3" s="1">
        <v>10</v>
      </c>
      <c r="E3" s="11">
        <f>Tableau1[[#This Row],[Nombre]]/Tableau1[[#Totals],[Nombre]]</f>
        <v>0.1</v>
      </c>
      <c r="F3" s="1">
        <f>Tableau1[[#This Row],[Nombre]]*Tableau1[[#This Row],[Credit]]</f>
        <v>0</v>
      </c>
      <c r="G3" s="1"/>
      <c r="H3" s="1" t="s">
        <v>2</v>
      </c>
      <c r="I3" s="3">
        <v>0</v>
      </c>
    </row>
    <row r="4" spans="2:9" x14ac:dyDescent="0.25">
      <c r="B4" s="2" t="s">
        <v>14</v>
      </c>
      <c r="C4" s="2">
        <v>2</v>
      </c>
      <c r="D4" s="1">
        <v>10</v>
      </c>
      <c r="E4" s="11">
        <f>Tableau1[[#This Row],[Nombre]]/Tableau1[[#Totals],[Nombre]]</f>
        <v>0.1</v>
      </c>
      <c r="F4" s="1">
        <f>Tableau1[[#This Row],[Nombre]]*Tableau1[[#This Row],[Credit]]</f>
        <v>20</v>
      </c>
      <c r="G4" s="1"/>
      <c r="H4" s="1" t="s">
        <v>2</v>
      </c>
      <c r="I4" s="3">
        <v>2</v>
      </c>
    </row>
    <row r="5" spans="2:9" x14ac:dyDescent="0.25">
      <c r="B5" s="2" t="s">
        <v>15</v>
      </c>
      <c r="C5" s="2">
        <v>3</v>
      </c>
      <c r="D5" s="1">
        <v>10</v>
      </c>
      <c r="E5" s="11">
        <f>Tableau1[[#This Row],[Nombre]]/Tableau1[[#Totals],[Nombre]]</f>
        <v>0.1</v>
      </c>
      <c r="F5" s="1">
        <f>Tableau1[[#This Row],[Nombre]]*Tableau1[[#This Row],[Credit]]</f>
        <v>20</v>
      </c>
      <c r="G5" s="1"/>
      <c r="H5" s="1" t="s">
        <v>2</v>
      </c>
      <c r="I5" s="3">
        <v>2</v>
      </c>
    </row>
    <row r="6" spans="2:9" x14ac:dyDescent="0.25">
      <c r="B6" s="2" t="s">
        <v>16</v>
      </c>
      <c r="C6" s="2">
        <v>4</v>
      </c>
      <c r="D6" s="1">
        <v>10</v>
      </c>
      <c r="E6" s="11">
        <f>Tableau1[[#This Row],[Nombre]]/Tableau1[[#Totals],[Nombre]]</f>
        <v>0.1</v>
      </c>
      <c r="F6" s="1">
        <f>Tableau1[[#This Row],[Nombre]]*Tableau1[[#This Row],[Credit]]</f>
        <v>20</v>
      </c>
      <c r="G6" s="1"/>
      <c r="H6" s="1" t="s">
        <v>2</v>
      </c>
      <c r="I6" s="3">
        <v>2</v>
      </c>
    </row>
    <row r="7" spans="2:9" x14ac:dyDescent="0.25">
      <c r="B7" s="2" t="s">
        <v>10</v>
      </c>
      <c r="C7" s="2">
        <v>5</v>
      </c>
      <c r="D7" s="1">
        <v>2</v>
      </c>
      <c r="E7" s="11">
        <f>Tableau1[[#This Row],[Nombre]]/Tableau1[[#Totals],[Nombre]]</f>
        <v>0.02</v>
      </c>
      <c r="F7" s="1">
        <f>Tableau1[[#This Row],[Nombre]]*Tableau1[[#This Row],[Credit]]</f>
        <v>4</v>
      </c>
      <c r="G7" s="1" t="b">
        <v>1</v>
      </c>
      <c r="H7" s="1" t="s">
        <v>2</v>
      </c>
      <c r="I7" s="3">
        <v>2</v>
      </c>
    </row>
    <row r="8" spans="2:9" x14ac:dyDescent="0.25">
      <c r="B8" s="2" t="s">
        <v>12</v>
      </c>
      <c r="C8" s="2">
        <v>6</v>
      </c>
      <c r="D8" s="1">
        <v>2</v>
      </c>
      <c r="E8" s="11">
        <f>Tableau1[[#This Row],[Nombre]]/Tableau1[[#Totals],[Nombre]]</f>
        <v>0.02</v>
      </c>
      <c r="F8" s="1">
        <f>Tableau1[[#This Row],[Nombre]]*Tableau1[[#This Row],[Credit]]</f>
        <v>6</v>
      </c>
      <c r="G8" s="1" t="b">
        <v>1</v>
      </c>
      <c r="H8" s="1" t="s">
        <v>2</v>
      </c>
      <c r="I8" s="3">
        <v>3</v>
      </c>
    </row>
    <row r="9" spans="2:9" x14ac:dyDescent="0.25">
      <c r="B9" s="2" t="s">
        <v>13</v>
      </c>
      <c r="C9" s="2">
        <v>7</v>
      </c>
      <c r="D9" s="1">
        <v>2</v>
      </c>
      <c r="E9" s="11">
        <f>Tableau1[[#This Row],[Nombre]]/Tableau1[[#Totals],[Nombre]]</f>
        <v>0.02</v>
      </c>
      <c r="F9" s="1">
        <f>Tableau1[[#This Row],[Nombre]]*Tableau1[[#This Row],[Credit]]</f>
        <v>6</v>
      </c>
      <c r="G9" s="1" t="b">
        <v>1</v>
      </c>
      <c r="H9" s="1" t="s">
        <v>2</v>
      </c>
      <c r="I9" s="3">
        <v>3</v>
      </c>
    </row>
    <row r="10" spans="2:9" x14ac:dyDescent="0.25">
      <c r="B10" s="2" t="s">
        <v>9</v>
      </c>
      <c r="C10" s="2">
        <v>8</v>
      </c>
      <c r="D10" s="1">
        <v>12</v>
      </c>
      <c r="E10" s="11">
        <f>Tableau1[[#This Row],[Nombre]]/Tableau1[[#Totals],[Nombre]]</f>
        <v>0.12</v>
      </c>
      <c r="F10" s="1">
        <f>Tableau1[[#This Row],[Nombre]]*Tableau1[[#This Row],[Credit]]</f>
        <v>12</v>
      </c>
      <c r="G10" s="1"/>
      <c r="H10" s="1" t="s">
        <v>4</v>
      </c>
      <c r="I10" s="3">
        <v>1</v>
      </c>
    </row>
    <row r="11" spans="2:9" x14ac:dyDescent="0.25">
      <c r="B11" s="2" t="s">
        <v>7</v>
      </c>
      <c r="C11" s="2">
        <v>9</v>
      </c>
      <c r="D11" s="1">
        <v>8</v>
      </c>
      <c r="E11" s="11">
        <f>Tableau1[[#This Row],[Nombre]]/Tableau1[[#Totals],[Nombre]]</f>
        <v>0.08</v>
      </c>
      <c r="F11" s="1">
        <f>Tableau1[[#This Row],[Nombre]]*Tableau1[[#This Row],[Credit]]</f>
        <v>8</v>
      </c>
      <c r="G11" s="1"/>
      <c r="H11" s="1" t="s">
        <v>4</v>
      </c>
      <c r="I11" s="3">
        <v>1</v>
      </c>
    </row>
    <row r="12" spans="2:9" x14ac:dyDescent="0.25">
      <c r="B12" s="2" t="s">
        <v>8</v>
      </c>
      <c r="C12" s="2">
        <v>10</v>
      </c>
      <c r="D12" s="1">
        <v>8</v>
      </c>
      <c r="E12" s="11">
        <f>Tableau1[[#This Row],[Nombre]]/Tableau1[[#Totals],[Nombre]]</f>
        <v>0.08</v>
      </c>
      <c r="F12" s="1">
        <f>Tableau1[[#This Row],[Nombre]]*Tableau1[[#This Row],[Credit]]</f>
        <v>8</v>
      </c>
      <c r="G12" s="1"/>
      <c r="H12" s="1" t="s">
        <v>4</v>
      </c>
      <c r="I12" s="3">
        <v>1</v>
      </c>
    </row>
    <row r="13" spans="2:9" x14ac:dyDescent="0.25">
      <c r="B13" s="2" t="s">
        <v>21</v>
      </c>
      <c r="C13" s="2">
        <v>11</v>
      </c>
      <c r="D13" s="1">
        <v>6</v>
      </c>
      <c r="E13" s="11">
        <f>Tableau1[[#This Row],[Nombre]]/Tableau1[[#Totals],[Nombre]]</f>
        <v>0.06</v>
      </c>
      <c r="F13" s="1">
        <f>Tableau1[[#This Row],[Nombre]]*Tableau1[[#This Row],[Credit]]</f>
        <v>6</v>
      </c>
      <c r="G13" s="1"/>
      <c r="H13" s="1" t="s">
        <v>4</v>
      </c>
      <c r="I13" s="3">
        <v>1</v>
      </c>
    </row>
    <row r="14" spans="2:9" x14ac:dyDescent="0.25">
      <c r="B14" s="2" t="s">
        <v>18</v>
      </c>
      <c r="C14" s="2">
        <v>12</v>
      </c>
      <c r="D14" s="1">
        <v>6</v>
      </c>
      <c r="E14" s="11">
        <f>Tableau1[[#This Row],[Nombre]]/Tableau1[[#Totals],[Nombre]]</f>
        <v>0.06</v>
      </c>
      <c r="F14" s="1">
        <f>Tableau1[[#This Row],[Nombre]]*Tableau1[[#This Row],[Credit]]</f>
        <v>18</v>
      </c>
      <c r="G14" s="1"/>
      <c r="H14" s="1" t="s">
        <v>4</v>
      </c>
      <c r="I14" s="3">
        <v>3</v>
      </c>
    </row>
    <row r="15" spans="2:9" x14ac:dyDescent="0.25">
      <c r="B15" s="2" t="s">
        <v>20</v>
      </c>
      <c r="C15" s="2">
        <v>13</v>
      </c>
      <c r="D15" s="1">
        <v>6</v>
      </c>
      <c r="E15" s="11">
        <f>Tableau1[[#This Row],[Nombre]]/Tableau1[[#Totals],[Nombre]]</f>
        <v>0.06</v>
      </c>
      <c r="F15" s="1">
        <f>Tableau1[[#This Row],[Nombre]]*Tableau1[[#This Row],[Credit]]</f>
        <v>18</v>
      </c>
      <c r="G15" s="1"/>
      <c r="H15" s="1" t="s">
        <v>4</v>
      </c>
      <c r="I15" s="3">
        <v>3</v>
      </c>
    </row>
    <row r="16" spans="2:9" x14ac:dyDescent="0.25">
      <c r="B16" s="2" t="s">
        <v>19</v>
      </c>
      <c r="C16" s="2">
        <v>14</v>
      </c>
      <c r="D16" s="1">
        <v>6</v>
      </c>
      <c r="E16" s="11">
        <f>Tableau1[[#This Row],[Nombre]]/Tableau1[[#Totals],[Nombre]]</f>
        <v>0.06</v>
      </c>
      <c r="F16" s="1">
        <f>Tableau1[[#This Row],[Nombre]]*Tableau1[[#This Row],[Credit]]</f>
        <v>18</v>
      </c>
      <c r="G16" s="1"/>
      <c r="H16" s="1" t="s">
        <v>4</v>
      </c>
      <c r="I16" s="3">
        <v>3</v>
      </c>
    </row>
    <row r="17" spans="2:13" x14ac:dyDescent="0.25">
      <c r="B17" s="7" t="s">
        <v>11</v>
      </c>
      <c r="C17" s="7">
        <v>15</v>
      </c>
      <c r="D17" s="8">
        <v>2</v>
      </c>
      <c r="E17" s="12">
        <f>Tableau1[[#This Row],[Nombre]]/Tableau1[[#Totals],[Nombre]]</f>
        <v>0.02</v>
      </c>
      <c r="F17" s="8">
        <f>Tableau1[[#This Row],[Nombre]]*Tableau1[[#This Row],[Credit]]</f>
        <v>2</v>
      </c>
      <c r="G17" s="8" t="b">
        <v>1</v>
      </c>
      <c r="H17" s="8" t="s">
        <v>4</v>
      </c>
      <c r="I17" s="9">
        <v>1</v>
      </c>
    </row>
    <row r="18" spans="2:13" x14ac:dyDescent="0.25">
      <c r="B18" s="7">
        <f>SUBTOTAL(103,Tableau1[Note])</f>
        <v>15</v>
      </c>
      <c r="C18" s="7"/>
      <c r="D18" s="8">
        <f>SUBTOTAL(109,Tableau1[Nombre])</f>
        <v>100</v>
      </c>
      <c r="E18" s="8"/>
      <c r="F18" s="8">
        <f>SUBTOTAL(109,Tableau1[Nombre*Credit])</f>
        <v>166</v>
      </c>
      <c r="G18" s="8"/>
      <c r="H18" s="8"/>
      <c r="I18" s="9"/>
    </row>
    <row r="20" spans="2:13" x14ac:dyDescent="0.25">
      <c r="K20" s="1" t="s">
        <v>25</v>
      </c>
      <c r="M20" s="1" t="s">
        <v>26</v>
      </c>
    </row>
    <row r="21" spans="2:13" x14ac:dyDescent="0.25">
      <c r="B21" s="1" t="s">
        <v>31</v>
      </c>
      <c r="C21" s="13"/>
      <c r="K21" s="1">
        <v>40</v>
      </c>
      <c r="M21" s="1">
        <v>40</v>
      </c>
    </row>
    <row r="22" spans="2:13" x14ac:dyDescent="0.25">
      <c r="B22" s="10">
        <f>Tableau1[[#Totals],[Nombre*Credit]]/Tableau1[[#Totals],[Nombre]]</f>
        <v>1.66</v>
      </c>
      <c r="C22" s="14"/>
    </row>
    <row r="23" spans="2:13" x14ac:dyDescent="0.25">
      <c r="K23" s="1" t="s">
        <v>23</v>
      </c>
      <c r="M23" s="1" t="s">
        <v>27</v>
      </c>
    </row>
    <row r="24" spans="2:13" x14ac:dyDescent="0.25">
      <c r="D24" s="15" t="s">
        <v>38</v>
      </c>
      <c r="K24" s="1">
        <f>ROUNDDOWN(K21/4,0)</f>
        <v>10</v>
      </c>
      <c r="M24" s="1">
        <f>ROUNDUP(M21*0.6/4,0)</f>
        <v>6</v>
      </c>
    </row>
    <row r="25" spans="2:13" x14ac:dyDescent="0.25">
      <c r="D25" s="15">
        <f>4*M24</f>
        <v>24</v>
      </c>
    </row>
    <row r="26" spans="2:13" x14ac:dyDescent="0.25">
      <c r="K26" s="1" t="s">
        <v>24</v>
      </c>
      <c r="M26" s="1" t="s">
        <v>28</v>
      </c>
    </row>
    <row r="27" spans="2:13" x14ac:dyDescent="0.25">
      <c r="B27" s="18" t="s">
        <v>37</v>
      </c>
      <c r="D27" s="15" t="s">
        <v>39</v>
      </c>
      <c r="K27" s="1">
        <v>2</v>
      </c>
      <c r="M27" s="1">
        <f>ROUNDDOWN(M21*0.4/2,0)</f>
        <v>8</v>
      </c>
    </row>
    <row r="28" spans="2:13" x14ac:dyDescent="0.25">
      <c r="B28" s="18">
        <f>4*K24</f>
        <v>40</v>
      </c>
      <c r="D28" s="15">
        <f>2*M27</f>
        <v>16</v>
      </c>
    </row>
    <row r="29" spans="2:13" x14ac:dyDescent="0.25">
      <c r="M29" s="1" t="s">
        <v>30</v>
      </c>
    </row>
    <row r="30" spans="2:13" x14ac:dyDescent="0.25">
      <c r="B30" s="17" t="s">
        <v>34</v>
      </c>
      <c r="D30" s="19" t="s">
        <v>36</v>
      </c>
      <c r="M30" s="1">
        <v>12</v>
      </c>
    </row>
    <row r="31" spans="2:13" x14ac:dyDescent="0.25">
      <c r="B31" s="18">
        <f>4*K24+3*K27</f>
        <v>46</v>
      </c>
      <c r="D31" s="15">
        <f>4*M24+2*M27+M30+M33</f>
        <v>54</v>
      </c>
    </row>
    <row r="32" spans="2:13" x14ac:dyDescent="0.25">
      <c r="M32" s="1" t="s">
        <v>29</v>
      </c>
    </row>
    <row r="33" spans="2:13" x14ac:dyDescent="0.25">
      <c r="B33" s="16" t="s">
        <v>35</v>
      </c>
      <c r="D33" s="1" t="s">
        <v>40</v>
      </c>
      <c r="M33" s="1">
        <v>2</v>
      </c>
    </row>
    <row r="34" spans="2:13" x14ac:dyDescent="0.25">
      <c r="B34" s="16">
        <f>B31+D31</f>
        <v>100</v>
      </c>
      <c r="D34" s="1">
        <f>3*K27+1*M33</f>
        <v>8</v>
      </c>
    </row>
  </sheetData>
  <pageMargins left="0.25" right="0.25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2026-02-11T07:34:00Z</cp:lastPrinted>
  <dcterms:created xsi:type="dcterms:W3CDTF">2015-06-05T18:19:34Z</dcterms:created>
  <dcterms:modified xsi:type="dcterms:W3CDTF">2026-02-11T07:34:08Z</dcterms:modified>
</cp:coreProperties>
</file>