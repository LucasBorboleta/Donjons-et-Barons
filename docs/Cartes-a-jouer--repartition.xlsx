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and\Documents\GitHub\Donjons-et-Barons\docs\"/>
    </mc:Choice>
  </mc:AlternateContent>
  <xr:revisionPtr revIDLastSave="0" documentId="13_ncr:1_{473A9276-0479-4E0B-8D8D-3B68F5A40A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épartition" sheetId="1" r:id="rId1"/>
    <sheet name="Présen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11" i="2"/>
  <c r="F11" i="2" s="1"/>
  <c r="H3" i="2"/>
  <c r="E3" i="2"/>
  <c r="G6" i="2"/>
  <c r="E12" i="2"/>
  <c r="E6" i="2"/>
  <c r="F6" i="2" s="1"/>
  <c r="B18" i="1"/>
  <c r="G8" i="1"/>
  <c r="G9" i="1"/>
  <c r="G4" i="1"/>
  <c r="G5" i="1"/>
  <c r="G6" i="1"/>
  <c r="G7" i="1"/>
  <c r="G3" i="1"/>
  <c r="G14" i="1"/>
  <c r="G15" i="1"/>
  <c r="G16" i="1"/>
  <c r="G13" i="1"/>
  <c r="G11" i="1"/>
  <c r="G12" i="1"/>
  <c r="G10" i="1"/>
  <c r="G17" i="1"/>
  <c r="D18" i="1"/>
  <c r="F3" i="1" s="1"/>
  <c r="B34" i="1" l="1"/>
  <c r="G18" i="1"/>
  <c r="B22" i="1" s="1"/>
  <c r="F7" i="1"/>
  <c r="F6" i="1"/>
  <c r="F5" i="1"/>
  <c r="F4" i="1"/>
  <c r="F9" i="1"/>
  <c r="F8" i="1"/>
  <c r="F17" i="1"/>
  <c r="F10" i="1"/>
  <c r="F12" i="1"/>
  <c r="F11" i="1"/>
  <c r="F13" i="1"/>
  <c r="F16" i="1"/>
  <c r="F15" i="1"/>
  <c r="F14" i="1"/>
</calcChain>
</file>

<file path=xl/sharedStrings.xml><?xml version="1.0" encoding="utf-8"?>
<sst xmlns="http://schemas.openxmlformats.org/spreadsheetml/2006/main" count="80" uniqueCount="42">
  <si>
    <t>Type</t>
  </si>
  <si>
    <t>Credit</t>
  </si>
  <si>
    <t>O</t>
  </si>
  <si>
    <t>Note</t>
  </si>
  <si>
    <t>T</t>
  </si>
  <si>
    <t>Nombre</t>
  </si>
  <si>
    <t>Rare?</t>
  </si>
  <si>
    <t>Disperser Troupes</t>
  </si>
  <si>
    <t>Concentrer Troupes</t>
  </si>
  <si>
    <t>Chevauchée Lointaine</t>
  </si>
  <si>
    <t>Déconstruire Donjon</t>
  </si>
  <si>
    <t>Exiler Officier</t>
  </si>
  <si>
    <t>Déplacer Officier 3+</t>
  </si>
  <si>
    <t>Déplacer Officier 2+</t>
  </si>
  <si>
    <t>Déplacer Officier 1+</t>
  </si>
  <si>
    <t>Déplacer Officier 1</t>
  </si>
  <si>
    <t>Recruter Troupes 3+</t>
  </si>
  <si>
    <t>Recruter Troupes 1+</t>
  </si>
  <si>
    <t>Recruter Troupes 2+</t>
  </si>
  <si>
    <t>Recruter Troupes 1</t>
  </si>
  <si>
    <t>Nombre*Credit</t>
  </si>
  <si>
    <t>#Cartes Construire Donjons</t>
  </si>
  <si>
    <t>Crédit moyen</t>
  </si>
  <si>
    <t>Fréquence</t>
  </si>
  <si>
    <t>Ordre</t>
  </si>
  <si>
    <t>#Cartes Officier</t>
  </si>
  <si>
    <t>#Cartes</t>
  </si>
  <si>
    <t>#Cartes Troupes</t>
  </si>
  <si>
    <t>#Cartes Déplacer Officiers</t>
  </si>
  <si>
    <t>#Cartes Recruter Troupes</t>
  </si>
  <si>
    <t>#Cartes Déplacer Troupes</t>
  </si>
  <si>
    <t>#Cartes rares</t>
  </si>
  <si>
    <t>Prêt</t>
  </si>
  <si>
    <t>x</t>
  </si>
  <si>
    <t>z</t>
  </si>
  <si>
    <t>Recruter Chevalier</t>
  </si>
  <si>
    <t>Regroupements</t>
  </si>
  <si>
    <t>Construire Donjon</t>
  </si>
  <si>
    <t>Complot à la Cour</t>
  </si>
  <si>
    <t>Carte Action</t>
  </si>
  <si>
    <t>Crédits</t>
  </si>
  <si>
    <t>Exiler Chevalier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</si>
</sst>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CDE5"/>
        <bgColor indexed="64"/>
      </patternFill>
    </fill>
    <fill>
      <patternFill patternType="solid">
        <fgColor rgb="FFA0BE6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0" fillId="0" borderId="13" xfId="0" applyBorder="1"/>
    <xf numFmtId="0" fontId="0" fillId="0" borderId="2" xfId="0" applyBorder="1"/>
    <xf numFmtId="0" fontId="0" fillId="5" borderId="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2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BCDE5"/>
      <color rgb="FFC28D7C"/>
      <color rgb="FFA0BE6E"/>
      <color rgb="FFB5735F"/>
      <color rgb="FFB57A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87EBA-D301-4E43-8701-B804D42A43C7}" name="Tableau1" displayName="Tableau1" ref="B2:J18" totalsRowCount="1" headerRowDxfId="22" dataDxfId="20" headerRowBorderDxfId="21" tableBorderDxfId="19" totalsRowBorderDxfId="18">
  <autoFilter ref="B2:J17" xr:uid="{CF687EBA-D301-4E43-8701-B804D42A43C7}"/>
  <sortState xmlns:xlrd2="http://schemas.microsoft.com/office/spreadsheetml/2017/richdata2" ref="B3:J17">
    <sortCondition ref="C2:C17"/>
  </sortState>
  <tableColumns count="9">
    <tableColumn id="5" xr3:uid="{1ACE54E5-EDC8-4AD7-84A1-8DA8AE240D81}" name="Note" totalsRowFunction="count" dataDxfId="17" totalsRowDxfId="16"/>
    <tableColumn id="1" xr3:uid="{962D52E2-C6AE-4100-AE8C-DF2E8B9B0615}" name="Ordre" dataDxfId="15" totalsRowDxfId="14"/>
    <tableColumn id="2" xr3:uid="{361935C2-34DD-4D21-A2AB-6BBFCF4F98A2}" name="Nombre" totalsRowFunction="sum" dataDxfId="13" totalsRowDxfId="12"/>
    <tableColumn id="7" xr3:uid="{C94B1093-5CDB-4631-9DEA-00E6458C936C}" name="Prêt" dataDxfId="11" totalsRowDxfId="10"/>
    <tableColumn id="9" xr3:uid="{79576F61-0793-4990-BCCE-C22965121196}" name="Fréquence" dataDxfId="9" totalsRowDxfId="8" dataCellStyle="Pourcentage">
      <calculatedColumnFormula>Tableau1[[#This Row],[Nombre]]/Tableau1[[#Totals],[Nombre]]</calculatedColumnFormula>
    </tableColumn>
    <tableColumn id="8" xr3:uid="{37230C39-5DD0-41BC-BD2F-700C093E4770}" name="Nombre*Credit" totalsRowFunction="sum" dataDxfId="7" totalsRowDxfId="6">
      <calculatedColumnFormula>Tableau1[[#This Row],[Nombre]]*Tableau1[[#This Row],[Credit]]</calculatedColumnFormula>
    </tableColumn>
    <tableColumn id="6" xr3:uid="{01749902-06D0-4021-B14B-C7F16B74E64F}" name="Rare?" dataDxfId="5" totalsRowDxfId="4"/>
    <tableColumn id="3" xr3:uid="{03B71102-410F-4504-A5D5-D6E86877D1E0}" name="Type" dataDxfId="3" totalsRowDxfId="2"/>
    <tableColumn id="4" xr3:uid="{D6FB2E1D-5A55-46E8-AE05-7C9175F7718F}" name="Credi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zoomScale="85" zoomScaleNormal="85" workbookViewId="0">
      <selection activeCell="F26" sqref="F26"/>
    </sheetView>
  </sheetViews>
  <sheetFormatPr baseColWidth="10" defaultColWidth="9.140625" defaultRowHeight="15" x14ac:dyDescent="0.25"/>
  <cols>
    <col min="1" max="1" width="5.42578125" customWidth="1"/>
    <col min="2" max="2" width="24.7109375" customWidth="1"/>
    <col min="3" max="3" width="7.28515625" customWidth="1"/>
    <col min="4" max="4" width="28.140625" customWidth="1"/>
    <col min="5" max="5" width="9.42578125" customWidth="1"/>
    <col min="6" max="6" width="14.7109375" customWidth="1"/>
    <col min="7" max="7" width="18.7109375" customWidth="1"/>
    <col min="8" max="8" width="11.28515625" customWidth="1"/>
    <col min="10" max="10" width="10.7109375" customWidth="1"/>
    <col min="13" max="13" width="29.7109375" customWidth="1"/>
  </cols>
  <sheetData>
    <row r="2" spans="2:10" x14ac:dyDescent="0.25">
      <c r="B2" s="4" t="s">
        <v>3</v>
      </c>
      <c r="C2" s="4" t="s">
        <v>24</v>
      </c>
      <c r="D2" s="5" t="s">
        <v>5</v>
      </c>
      <c r="E2" s="5" t="s">
        <v>32</v>
      </c>
      <c r="F2" s="5" t="s">
        <v>23</v>
      </c>
      <c r="G2" s="5" t="s">
        <v>20</v>
      </c>
      <c r="H2" s="5" t="s">
        <v>6</v>
      </c>
      <c r="I2" s="5" t="s">
        <v>0</v>
      </c>
      <c r="J2" s="6" t="s">
        <v>1</v>
      </c>
    </row>
    <row r="3" spans="2:10" x14ac:dyDescent="0.25">
      <c r="B3" s="2" t="s">
        <v>15</v>
      </c>
      <c r="C3" s="2">
        <v>1</v>
      </c>
      <c r="D3" s="1">
        <v>9</v>
      </c>
      <c r="E3" s="1" t="s">
        <v>33</v>
      </c>
      <c r="F3" s="11">
        <f>Tableau1[[#This Row],[Nombre]]/Tableau1[[#Totals],[Nombre]]</f>
        <v>0.09</v>
      </c>
      <c r="G3" s="1">
        <f>Tableau1[[#This Row],[Nombre]]*Tableau1[[#This Row],[Credit]]</f>
        <v>0</v>
      </c>
      <c r="H3" s="1"/>
      <c r="I3" s="1" t="s">
        <v>2</v>
      </c>
      <c r="J3" s="3">
        <v>0</v>
      </c>
    </row>
    <row r="4" spans="2:10" x14ac:dyDescent="0.25">
      <c r="B4" s="2" t="s">
        <v>12</v>
      </c>
      <c r="C4" s="2">
        <v>2</v>
      </c>
      <c r="D4" s="1">
        <v>9</v>
      </c>
      <c r="E4" s="1" t="s">
        <v>33</v>
      </c>
      <c r="F4" s="11">
        <f>Tableau1[[#This Row],[Nombre]]/Tableau1[[#Totals],[Nombre]]</f>
        <v>0.09</v>
      </c>
      <c r="G4" s="1">
        <f>Tableau1[[#This Row],[Nombre]]*Tableau1[[#This Row],[Credit]]</f>
        <v>18</v>
      </c>
      <c r="H4" s="1"/>
      <c r="I4" s="1" t="s">
        <v>2</v>
      </c>
      <c r="J4" s="3">
        <v>2</v>
      </c>
    </row>
    <row r="5" spans="2:10" x14ac:dyDescent="0.25">
      <c r="B5" s="2" t="s">
        <v>13</v>
      </c>
      <c r="C5" s="2">
        <v>3</v>
      </c>
      <c r="D5" s="1">
        <v>9</v>
      </c>
      <c r="E5" s="1" t="s">
        <v>33</v>
      </c>
      <c r="F5" s="11">
        <f>Tableau1[[#This Row],[Nombre]]/Tableau1[[#Totals],[Nombre]]</f>
        <v>0.09</v>
      </c>
      <c r="G5" s="1">
        <f>Tableau1[[#This Row],[Nombre]]*Tableau1[[#This Row],[Credit]]</f>
        <v>18</v>
      </c>
      <c r="H5" s="1"/>
      <c r="I5" s="1" t="s">
        <v>2</v>
      </c>
      <c r="J5" s="3">
        <v>2</v>
      </c>
    </row>
    <row r="6" spans="2:10" x14ac:dyDescent="0.25">
      <c r="B6" s="2" t="s">
        <v>14</v>
      </c>
      <c r="C6" s="2">
        <v>4</v>
      </c>
      <c r="D6" s="1">
        <v>9</v>
      </c>
      <c r="E6" s="1" t="s">
        <v>33</v>
      </c>
      <c r="F6" s="11">
        <f>Tableau1[[#This Row],[Nombre]]/Tableau1[[#Totals],[Nombre]]</f>
        <v>0.09</v>
      </c>
      <c r="G6" s="1">
        <f>Tableau1[[#This Row],[Nombre]]*Tableau1[[#This Row],[Credit]]</f>
        <v>18</v>
      </c>
      <c r="H6" s="1"/>
      <c r="I6" s="1" t="s">
        <v>2</v>
      </c>
      <c r="J6" s="3">
        <v>2</v>
      </c>
    </row>
    <row r="7" spans="2:10" x14ac:dyDescent="0.25">
      <c r="B7" s="2" t="s">
        <v>9</v>
      </c>
      <c r="C7" s="2">
        <v>5</v>
      </c>
      <c r="D7" s="1">
        <v>2</v>
      </c>
      <c r="E7" s="1" t="s">
        <v>34</v>
      </c>
      <c r="F7" s="11">
        <f>Tableau1[[#This Row],[Nombre]]/Tableau1[[#Totals],[Nombre]]</f>
        <v>0.02</v>
      </c>
      <c r="G7" s="1">
        <f>Tableau1[[#This Row],[Nombre]]*Tableau1[[#This Row],[Credit]]</f>
        <v>4</v>
      </c>
      <c r="H7" s="1" t="b">
        <v>1</v>
      </c>
      <c r="I7" s="1" t="s">
        <v>2</v>
      </c>
      <c r="J7" s="3">
        <v>2</v>
      </c>
    </row>
    <row r="8" spans="2:10" x14ac:dyDescent="0.25">
      <c r="B8" s="2" t="s">
        <v>35</v>
      </c>
      <c r="C8" s="2">
        <v>6</v>
      </c>
      <c r="D8" s="1">
        <v>2</v>
      </c>
      <c r="E8" s="1" t="s">
        <v>34</v>
      </c>
      <c r="F8" s="11">
        <f>Tableau1[[#This Row],[Nombre]]/Tableau1[[#Totals],[Nombre]]</f>
        <v>0.02</v>
      </c>
      <c r="G8" s="1">
        <f>Tableau1[[#This Row],[Nombre]]*Tableau1[[#This Row],[Credit]]</f>
        <v>6</v>
      </c>
      <c r="H8" s="1" t="b">
        <v>1</v>
      </c>
      <c r="I8" s="1" t="s">
        <v>2</v>
      </c>
      <c r="J8" s="3">
        <v>3</v>
      </c>
    </row>
    <row r="9" spans="2:10" x14ac:dyDescent="0.25">
      <c r="B9" s="2" t="s">
        <v>11</v>
      </c>
      <c r="C9" s="2">
        <v>7</v>
      </c>
      <c r="D9" s="1">
        <v>2</v>
      </c>
      <c r="E9" s="1" t="s">
        <v>33</v>
      </c>
      <c r="F9" s="11">
        <f>Tableau1[[#This Row],[Nombre]]/Tableau1[[#Totals],[Nombre]]</f>
        <v>0.02</v>
      </c>
      <c r="G9" s="1">
        <f>Tableau1[[#This Row],[Nombre]]*Tableau1[[#This Row],[Credit]]</f>
        <v>6</v>
      </c>
      <c r="H9" s="1" t="b">
        <v>1</v>
      </c>
      <c r="I9" s="1" t="s">
        <v>2</v>
      </c>
      <c r="J9" s="3">
        <v>3</v>
      </c>
    </row>
    <row r="10" spans="2:10" x14ac:dyDescent="0.25">
      <c r="B10" s="2" t="s">
        <v>37</v>
      </c>
      <c r="C10" s="2">
        <v>8</v>
      </c>
      <c r="D10" s="1">
        <v>10</v>
      </c>
      <c r="E10" s="1" t="s">
        <v>33</v>
      </c>
      <c r="F10" s="11">
        <f>Tableau1[[#This Row],[Nombre]]/Tableau1[[#Totals],[Nombre]]</f>
        <v>0.1</v>
      </c>
      <c r="G10" s="1">
        <f>Tableau1[[#This Row],[Nombre]]*Tableau1[[#This Row],[Credit]]</f>
        <v>10</v>
      </c>
      <c r="H10" s="1"/>
      <c r="I10" s="1" t="s">
        <v>4</v>
      </c>
      <c r="J10" s="3">
        <v>1</v>
      </c>
    </row>
    <row r="11" spans="2:10" x14ac:dyDescent="0.25">
      <c r="B11" s="2" t="s">
        <v>7</v>
      </c>
      <c r="C11" s="2">
        <v>9</v>
      </c>
      <c r="D11" s="1">
        <v>8</v>
      </c>
      <c r="E11" s="1" t="s">
        <v>34</v>
      </c>
      <c r="F11" s="11">
        <f>Tableau1[[#This Row],[Nombre]]/Tableau1[[#Totals],[Nombre]]</f>
        <v>0.08</v>
      </c>
      <c r="G11" s="1">
        <f>Tableau1[[#This Row],[Nombre]]*Tableau1[[#This Row],[Credit]]</f>
        <v>8</v>
      </c>
      <c r="H11" s="1"/>
      <c r="I11" s="1" t="s">
        <v>4</v>
      </c>
      <c r="J11" s="3">
        <v>1</v>
      </c>
    </row>
    <row r="12" spans="2:10" x14ac:dyDescent="0.25">
      <c r="B12" s="2" t="s">
        <v>8</v>
      </c>
      <c r="C12" s="2">
        <v>10</v>
      </c>
      <c r="D12" s="1">
        <v>8</v>
      </c>
      <c r="E12" s="1" t="s">
        <v>34</v>
      </c>
      <c r="F12" s="11">
        <f>Tableau1[[#This Row],[Nombre]]/Tableau1[[#Totals],[Nombre]]</f>
        <v>0.08</v>
      </c>
      <c r="G12" s="1">
        <f>Tableau1[[#This Row],[Nombre]]*Tableau1[[#This Row],[Credit]]</f>
        <v>8</v>
      </c>
      <c r="H12" s="1"/>
      <c r="I12" s="1" t="s">
        <v>4</v>
      </c>
      <c r="J12" s="3">
        <v>1</v>
      </c>
    </row>
    <row r="13" spans="2:10" x14ac:dyDescent="0.25">
      <c r="B13" s="2" t="s">
        <v>19</v>
      </c>
      <c r="C13" s="2">
        <v>11</v>
      </c>
      <c r="D13" s="1">
        <v>8</v>
      </c>
      <c r="E13" s="1" t="s">
        <v>34</v>
      </c>
      <c r="F13" s="11">
        <f>Tableau1[[#This Row],[Nombre]]/Tableau1[[#Totals],[Nombre]]</f>
        <v>0.08</v>
      </c>
      <c r="G13" s="1">
        <f>Tableau1[[#This Row],[Nombre]]*Tableau1[[#This Row],[Credit]]</f>
        <v>8</v>
      </c>
      <c r="H13" s="1"/>
      <c r="I13" s="1" t="s">
        <v>4</v>
      </c>
      <c r="J13" s="3">
        <v>1</v>
      </c>
    </row>
    <row r="14" spans="2:10" x14ac:dyDescent="0.25">
      <c r="B14" s="2" t="s">
        <v>16</v>
      </c>
      <c r="C14" s="2">
        <v>12</v>
      </c>
      <c r="D14" s="1">
        <v>7</v>
      </c>
      <c r="E14" s="1" t="s">
        <v>34</v>
      </c>
      <c r="F14" s="11">
        <f>Tableau1[[#This Row],[Nombre]]/Tableau1[[#Totals],[Nombre]]</f>
        <v>7.0000000000000007E-2</v>
      </c>
      <c r="G14" s="1">
        <f>Tableau1[[#This Row],[Nombre]]*Tableau1[[#This Row],[Credit]]</f>
        <v>21</v>
      </c>
      <c r="H14" s="1"/>
      <c r="I14" s="1" t="s">
        <v>4</v>
      </c>
      <c r="J14" s="3">
        <v>3</v>
      </c>
    </row>
    <row r="15" spans="2:10" x14ac:dyDescent="0.25">
      <c r="B15" s="2" t="s">
        <v>18</v>
      </c>
      <c r="C15" s="2">
        <v>13</v>
      </c>
      <c r="D15" s="1">
        <v>7</v>
      </c>
      <c r="E15" s="1" t="s">
        <v>34</v>
      </c>
      <c r="F15" s="11">
        <f>Tableau1[[#This Row],[Nombre]]/Tableau1[[#Totals],[Nombre]]</f>
        <v>7.0000000000000007E-2</v>
      </c>
      <c r="G15" s="1">
        <f>Tableau1[[#This Row],[Nombre]]*Tableau1[[#This Row],[Credit]]</f>
        <v>21</v>
      </c>
      <c r="H15" s="1"/>
      <c r="I15" s="1" t="s">
        <v>4</v>
      </c>
      <c r="J15" s="3">
        <v>3</v>
      </c>
    </row>
    <row r="16" spans="2:10" x14ac:dyDescent="0.25">
      <c r="B16" s="2" t="s">
        <v>17</v>
      </c>
      <c r="C16" s="2">
        <v>14</v>
      </c>
      <c r="D16" s="1">
        <v>8</v>
      </c>
      <c r="E16" s="1" t="s">
        <v>34</v>
      </c>
      <c r="F16" s="11">
        <f>Tableau1[[#This Row],[Nombre]]/Tableau1[[#Totals],[Nombre]]</f>
        <v>0.08</v>
      </c>
      <c r="G16" s="1">
        <f>Tableau1[[#This Row],[Nombre]]*Tableau1[[#This Row],[Credit]]</f>
        <v>24</v>
      </c>
      <c r="H16" s="1"/>
      <c r="I16" s="1" t="s">
        <v>4</v>
      </c>
      <c r="J16" s="3">
        <v>3</v>
      </c>
    </row>
    <row r="17" spans="2:10" x14ac:dyDescent="0.25">
      <c r="B17" s="7" t="s">
        <v>10</v>
      </c>
      <c r="C17" s="7">
        <v>15</v>
      </c>
      <c r="D17" s="8">
        <v>2</v>
      </c>
      <c r="E17" s="8" t="s">
        <v>34</v>
      </c>
      <c r="F17" s="12">
        <f>Tableau1[[#This Row],[Nombre]]/Tableau1[[#Totals],[Nombre]]</f>
        <v>0.02</v>
      </c>
      <c r="G17" s="8">
        <f>Tableau1[[#This Row],[Nombre]]*Tableau1[[#This Row],[Credit]]</f>
        <v>2</v>
      </c>
      <c r="H17" s="8" t="b">
        <v>1</v>
      </c>
      <c r="I17" s="8" t="s">
        <v>4</v>
      </c>
      <c r="J17" s="9">
        <v>1</v>
      </c>
    </row>
    <row r="18" spans="2:10" x14ac:dyDescent="0.25">
      <c r="B18" s="7">
        <f>SUBTOTAL(103,Tableau1[Note])</f>
        <v>15</v>
      </c>
      <c r="C18" s="7"/>
      <c r="D18" s="8">
        <f>SUBTOTAL(109,Tableau1[Nombre])</f>
        <v>100</v>
      </c>
      <c r="E18" s="8"/>
      <c r="F18" s="8"/>
      <c r="G18" s="8">
        <f>SUBTOTAL(109,Tableau1[Nombre*Credit])</f>
        <v>172</v>
      </c>
      <c r="H18" s="8"/>
      <c r="I18" s="8"/>
      <c r="J18" s="9"/>
    </row>
    <row r="21" spans="2:10" x14ac:dyDescent="0.25">
      <c r="B21" s="1" t="s">
        <v>22</v>
      </c>
      <c r="C21" s="13"/>
      <c r="D21" s="15" t="s">
        <v>21</v>
      </c>
    </row>
    <row r="22" spans="2:10" x14ac:dyDescent="0.25">
      <c r="B22" s="10">
        <f>Tableau1[[#Totals],[Nombre*Credit]]/Tableau1[[#Totals],[Nombre]]</f>
        <v>1.72</v>
      </c>
      <c r="C22" s="14"/>
      <c r="D22" s="15">
        <v>10</v>
      </c>
    </row>
    <row r="24" spans="2:10" x14ac:dyDescent="0.25">
      <c r="B24" s="1" t="s">
        <v>31</v>
      </c>
      <c r="D24" s="15" t="s">
        <v>29</v>
      </c>
    </row>
    <row r="25" spans="2:10" x14ac:dyDescent="0.25">
      <c r="B25" s="1">
        <v>8</v>
      </c>
      <c r="D25" s="15">
        <v>30</v>
      </c>
    </row>
    <row r="27" spans="2:10" x14ac:dyDescent="0.25">
      <c r="B27" s="18" t="s">
        <v>28</v>
      </c>
      <c r="D27" s="15" t="s">
        <v>30</v>
      </c>
    </row>
    <row r="28" spans="2:10" x14ac:dyDescent="0.25">
      <c r="B28" s="18">
        <v>36</v>
      </c>
      <c r="D28" s="15">
        <v>16</v>
      </c>
    </row>
    <row r="30" spans="2:10" x14ac:dyDescent="0.25">
      <c r="B30" s="17" t="s">
        <v>25</v>
      </c>
      <c r="D30" s="19" t="s">
        <v>27</v>
      </c>
    </row>
    <row r="31" spans="2:10" x14ac:dyDescent="0.25">
      <c r="B31" s="18">
        <v>42</v>
      </c>
      <c r="D31" s="15">
        <v>58</v>
      </c>
    </row>
    <row r="33" spans="2:2" x14ac:dyDescent="0.25">
      <c r="B33" s="16" t="s">
        <v>26</v>
      </c>
    </row>
    <row r="34" spans="2:2" x14ac:dyDescent="0.25">
      <c r="B34" s="16">
        <f>B31+D31</f>
        <v>100</v>
      </c>
    </row>
  </sheetData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00F5-BB8C-42D4-B150-781935673603}">
  <dimension ref="B2:H15"/>
  <sheetViews>
    <sheetView tabSelected="1" zoomScale="190" zoomScaleNormal="190" workbookViewId="0">
      <selection activeCell="B2" sqref="B2:H15"/>
    </sheetView>
  </sheetViews>
  <sheetFormatPr baseColWidth="10" defaultRowHeight="15" x14ac:dyDescent="0.25"/>
  <cols>
    <col min="1" max="1" width="6.5703125" customWidth="1"/>
    <col min="2" max="2" width="23.7109375" customWidth="1"/>
    <col min="3" max="4" width="7.7109375" customWidth="1"/>
    <col min="5" max="8" width="4.7109375" customWidth="1"/>
  </cols>
  <sheetData>
    <row r="2" spans="2:8" x14ac:dyDescent="0.25">
      <c r="B2" s="21" t="s">
        <v>39</v>
      </c>
      <c r="C2" s="21" t="s">
        <v>40</v>
      </c>
      <c r="D2" s="21" t="s">
        <v>5</v>
      </c>
      <c r="E2" s="24" t="s">
        <v>36</v>
      </c>
      <c r="F2" s="25"/>
      <c r="G2" s="26"/>
      <c r="H2" s="27"/>
    </row>
    <row r="3" spans="2:8" x14ac:dyDescent="0.25">
      <c r="B3" s="18" t="s">
        <v>12</v>
      </c>
      <c r="C3" s="18">
        <v>3</v>
      </c>
      <c r="D3" s="18">
        <v>4</v>
      </c>
      <c r="E3" s="35">
        <f>SUM(D3:D5)</f>
        <v>15</v>
      </c>
      <c r="F3" s="36"/>
      <c r="G3" s="37"/>
      <c r="H3" s="32">
        <f>SUM(D3:D15)</f>
        <v>40</v>
      </c>
    </row>
    <row r="4" spans="2:8" x14ac:dyDescent="0.25">
      <c r="B4" s="18" t="s">
        <v>13</v>
      </c>
      <c r="C4" s="18">
        <v>2</v>
      </c>
      <c r="D4" s="18">
        <v>5</v>
      </c>
      <c r="E4" s="38"/>
      <c r="F4" s="39"/>
      <c r="G4" s="40"/>
      <c r="H4" s="33"/>
    </row>
    <row r="5" spans="2:8" x14ac:dyDescent="0.25">
      <c r="B5" s="18" t="s">
        <v>14</v>
      </c>
      <c r="C5" s="18">
        <v>1</v>
      </c>
      <c r="D5" s="18">
        <v>6</v>
      </c>
      <c r="E5" s="41"/>
      <c r="F5" s="42"/>
      <c r="G5" s="43"/>
      <c r="H5" s="33"/>
    </row>
    <row r="6" spans="2:8" x14ac:dyDescent="0.25">
      <c r="B6" s="20" t="s">
        <v>16</v>
      </c>
      <c r="C6" s="20">
        <v>3</v>
      </c>
      <c r="D6" s="20">
        <v>2</v>
      </c>
      <c r="E6" s="28">
        <f>SUM(D6:D8)</f>
        <v>9</v>
      </c>
      <c r="F6" s="28">
        <f>E6+E9</f>
        <v>15</v>
      </c>
      <c r="G6" s="31">
        <f>SUM(D6:D11)</f>
        <v>21</v>
      </c>
      <c r="H6" s="33"/>
    </row>
    <row r="7" spans="2:8" x14ac:dyDescent="0.25">
      <c r="B7" s="20" t="s">
        <v>18</v>
      </c>
      <c r="C7" s="20">
        <v>2</v>
      </c>
      <c r="D7" s="20">
        <v>3</v>
      </c>
      <c r="E7" s="29"/>
      <c r="F7" s="54"/>
      <c r="G7" s="31"/>
      <c r="H7" s="33"/>
    </row>
    <row r="8" spans="2:8" x14ac:dyDescent="0.25">
      <c r="B8" s="20" t="s">
        <v>17</v>
      </c>
      <c r="C8" s="20">
        <v>1</v>
      </c>
      <c r="D8" s="20">
        <v>4</v>
      </c>
      <c r="E8" s="30"/>
      <c r="F8" s="54"/>
      <c r="G8" s="31"/>
      <c r="H8" s="33"/>
    </row>
    <row r="9" spans="2:8" x14ac:dyDescent="0.25">
      <c r="B9" s="20" t="s">
        <v>8</v>
      </c>
      <c r="C9" s="20">
        <v>1</v>
      </c>
      <c r="D9" s="20">
        <v>3</v>
      </c>
      <c r="E9" s="28">
        <f>SUM(D9:D10)</f>
        <v>6</v>
      </c>
      <c r="F9" s="54"/>
      <c r="G9" s="31"/>
      <c r="H9" s="33"/>
    </row>
    <row r="10" spans="2:8" x14ac:dyDescent="0.25">
      <c r="B10" s="20" t="s">
        <v>7</v>
      </c>
      <c r="C10" s="20">
        <v>1</v>
      </c>
      <c r="D10" s="20">
        <v>3</v>
      </c>
      <c r="E10" s="53"/>
      <c r="F10" s="53"/>
      <c r="G10" s="31"/>
      <c r="H10" s="33"/>
    </row>
    <row r="11" spans="2:8" x14ac:dyDescent="0.25">
      <c r="B11" s="20" t="s">
        <v>37</v>
      </c>
      <c r="C11" s="20">
        <v>3</v>
      </c>
      <c r="D11" s="20">
        <v>6</v>
      </c>
      <c r="E11" s="22">
        <f>D11</f>
        <v>6</v>
      </c>
      <c r="F11" s="22">
        <f>E11</f>
        <v>6</v>
      </c>
      <c r="G11" s="31"/>
      <c r="H11" s="33"/>
    </row>
    <row r="12" spans="2:8" x14ac:dyDescent="0.25">
      <c r="B12" s="18" t="s">
        <v>9</v>
      </c>
      <c r="C12" s="18">
        <v>3</v>
      </c>
      <c r="D12" s="18">
        <v>1</v>
      </c>
      <c r="E12" s="44">
        <f>SUM(D12:D15)</f>
        <v>4</v>
      </c>
      <c r="F12" s="45"/>
      <c r="G12" s="46"/>
      <c r="H12" s="33"/>
    </row>
    <row r="13" spans="2:8" x14ac:dyDescent="0.25">
      <c r="B13" s="18" t="s">
        <v>35</v>
      </c>
      <c r="C13" s="18">
        <v>3</v>
      </c>
      <c r="D13" s="18">
        <v>1</v>
      </c>
      <c r="E13" s="47"/>
      <c r="F13" s="48"/>
      <c r="G13" s="49"/>
      <c r="H13" s="33"/>
    </row>
    <row r="14" spans="2:8" x14ac:dyDescent="0.25">
      <c r="B14" s="18" t="s">
        <v>41</v>
      </c>
      <c r="C14" s="18">
        <v>3</v>
      </c>
      <c r="D14" s="18">
        <v>1</v>
      </c>
      <c r="E14" s="47"/>
      <c r="F14" s="48"/>
      <c r="G14" s="49"/>
      <c r="H14" s="33"/>
    </row>
    <row r="15" spans="2:8" x14ac:dyDescent="0.25">
      <c r="B15" s="23" t="s">
        <v>38</v>
      </c>
      <c r="C15" s="23">
        <v>3</v>
      </c>
      <c r="D15" s="18">
        <v>1</v>
      </c>
      <c r="E15" s="50"/>
      <c r="F15" s="51"/>
      <c r="G15" s="52"/>
      <c r="H15" s="34"/>
    </row>
  </sheetData>
  <mergeCells count="8">
    <mergeCell ref="E2:H2"/>
    <mergeCell ref="E6:E8"/>
    <mergeCell ref="G6:G11"/>
    <mergeCell ref="H3:H15"/>
    <mergeCell ref="E3:G5"/>
    <mergeCell ref="E12:G15"/>
    <mergeCell ref="E9:E10"/>
    <mergeCell ref="F6:F10"/>
  </mergeCells>
  <conditionalFormatting sqref="D3:D5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8 D12:D15">
    <cfRule type="colorScale" priority="18">
      <colorScale>
        <cfvo type="min"/>
        <cfvo type="max"/>
        <color rgb="FF63BE7B"/>
        <color rgb="FFFFEF9C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15">
    <cfRule type="colorScale" priority="1">
      <colorScale>
        <cfvo type="min"/>
        <cfvo type="max"/>
        <color rgb="FF63BE7B"/>
        <color rgb="FFFFEF9C"/>
      </colorScale>
    </cfRule>
  </conditionalFormatting>
  <conditionalFormatting sqref="D6:D8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:D10">
    <cfRule type="colorScale" priority="5">
      <colorScale>
        <cfvo type="min"/>
        <cfvo type="max"/>
        <color rgb="FF63BE7B"/>
        <color rgb="FFFFEF9C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1">
    <cfRule type="colorScale" priority="2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:D15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ignoredErrors>
    <ignoredError sqref="G6 E12 E3 E9 E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Répartition</vt:lpstr>
      <vt:lpstr>Présentation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Léandre Brault</dc:creator>
  <cp:lastModifiedBy>Léandre Brault</cp:lastModifiedBy>
  <cp:lastPrinted>2026-02-13T18:32:01Z</cp:lastPrinted>
  <dcterms:created xsi:type="dcterms:W3CDTF">2015-06-05T18:19:34Z</dcterms:created>
  <dcterms:modified xsi:type="dcterms:W3CDTF">2026-03-05T14:07:36Z</dcterms:modified>
</cp:coreProperties>
</file>